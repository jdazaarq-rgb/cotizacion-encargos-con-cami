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RMACION\Downloads\"/>
    </mc:Choice>
  </mc:AlternateContent>
  <xr:revisionPtr revIDLastSave="0" documentId="13_ncr:1_{DAFE50C8-6A73-4807-B61E-3FE49BF3FC6E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COTIZADOR" sheetId="1" r:id="rId1"/>
    <sheet name="CONFIGURACIÓN" sheetId="3" r:id="rId2"/>
  </sheets>
  <definedNames>
    <definedName name="_xlnm._FilterDatabase" localSheetId="0" hidden="1">COTIZADOR!$A$3:$J$53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3" i="1" l="1"/>
  <c r="K53" i="1"/>
  <c r="G53" i="1"/>
  <c r="H53" i="1" s="1"/>
  <c r="I53" i="1" s="1"/>
  <c r="J53" i="1" s="1"/>
  <c r="L52" i="1"/>
  <c r="K52" i="1"/>
  <c r="G52" i="1"/>
  <c r="H52" i="1" s="1"/>
  <c r="I52" i="1" s="1"/>
  <c r="J52" i="1" s="1"/>
  <c r="L51" i="1"/>
  <c r="K51" i="1"/>
  <c r="G51" i="1"/>
  <c r="H51" i="1" s="1"/>
  <c r="I51" i="1" s="1"/>
  <c r="J51" i="1" s="1"/>
  <c r="L50" i="1"/>
  <c r="K50" i="1"/>
  <c r="G50" i="1"/>
  <c r="H50" i="1" s="1"/>
  <c r="I50" i="1" s="1"/>
  <c r="J50" i="1" s="1"/>
  <c r="L49" i="1"/>
  <c r="K49" i="1"/>
  <c r="G49" i="1"/>
  <c r="H49" i="1" s="1"/>
  <c r="I49" i="1" s="1"/>
  <c r="J49" i="1" s="1"/>
  <c r="L48" i="1"/>
  <c r="K48" i="1"/>
  <c r="G48" i="1"/>
  <c r="H48" i="1" s="1"/>
  <c r="I48" i="1" s="1"/>
  <c r="J48" i="1" s="1"/>
  <c r="L47" i="1"/>
  <c r="K47" i="1"/>
  <c r="G47" i="1"/>
  <c r="H47" i="1" s="1"/>
  <c r="I47" i="1" s="1"/>
  <c r="J47" i="1" s="1"/>
  <c r="L46" i="1"/>
  <c r="K46" i="1"/>
  <c r="G46" i="1"/>
  <c r="H46" i="1" s="1"/>
  <c r="I46" i="1" s="1"/>
  <c r="J46" i="1" s="1"/>
  <c r="L45" i="1"/>
  <c r="K45" i="1"/>
  <c r="G45" i="1"/>
  <c r="H45" i="1" s="1"/>
  <c r="I45" i="1" s="1"/>
  <c r="J45" i="1" s="1"/>
  <c r="L44" i="1"/>
  <c r="K44" i="1"/>
  <c r="G44" i="1"/>
  <c r="H44" i="1" s="1"/>
  <c r="I44" i="1" s="1"/>
  <c r="J44" i="1" s="1"/>
  <c r="L43" i="1"/>
  <c r="K43" i="1"/>
  <c r="G43" i="1"/>
  <c r="H43" i="1" s="1"/>
  <c r="I43" i="1" s="1"/>
  <c r="J43" i="1" s="1"/>
  <c r="L42" i="1"/>
  <c r="K42" i="1"/>
  <c r="G42" i="1"/>
  <c r="H42" i="1" s="1"/>
  <c r="I42" i="1" s="1"/>
  <c r="J42" i="1" s="1"/>
  <c r="L41" i="1"/>
  <c r="K41" i="1"/>
  <c r="G41" i="1"/>
  <c r="H41" i="1" s="1"/>
  <c r="I41" i="1" s="1"/>
  <c r="J41" i="1" s="1"/>
  <c r="L40" i="1"/>
  <c r="K40" i="1"/>
  <c r="G40" i="1"/>
  <c r="H40" i="1" s="1"/>
  <c r="I40" i="1" s="1"/>
  <c r="J40" i="1" s="1"/>
  <c r="L39" i="1"/>
  <c r="K39" i="1"/>
  <c r="G39" i="1"/>
  <c r="H39" i="1" s="1"/>
  <c r="I39" i="1" s="1"/>
  <c r="J39" i="1" s="1"/>
  <c r="L38" i="1"/>
  <c r="K38" i="1"/>
  <c r="G38" i="1"/>
  <c r="H38" i="1" s="1"/>
  <c r="I38" i="1" s="1"/>
  <c r="J38" i="1" s="1"/>
  <c r="L37" i="1"/>
  <c r="K37" i="1"/>
  <c r="G37" i="1"/>
  <c r="H37" i="1" s="1"/>
  <c r="I37" i="1" s="1"/>
  <c r="J37" i="1" s="1"/>
  <c r="L36" i="1"/>
  <c r="K36" i="1"/>
  <c r="G36" i="1"/>
  <c r="H36" i="1" s="1"/>
  <c r="I36" i="1" s="1"/>
  <c r="J36" i="1" s="1"/>
  <c r="L35" i="1"/>
  <c r="K35" i="1"/>
  <c r="G35" i="1"/>
  <c r="H35" i="1" s="1"/>
  <c r="I35" i="1" s="1"/>
  <c r="J35" i="1" s="1"/>
  <c r="L34" i="1"/>
  <c r="K34" i="1"/>
  <c r="G34" i="1"/>
  <c r="H34" i="1" s="1"/>
  <c r="I34" i="1" s="1"/>
  <c r="J34" i="1" s="1"/>
  <c r="L33" i="1"/>
  <c r="K33" i="1"/>
  <c r="G33" i="1"/>
  <c r="H33" i="1" s="1"/>
  <c r="I33" i="1" s="1"/>
  <c r="J33" i="1" s="1"/>
  <c r="L32" i="1"/>
  <c r="K32" i="1"/>
  <c r="G32" i="1"/>
  <c r="H32" i="1" s="1"/>
  <c r="I32" i="1" s="1"/>
  <c r="J32" i="1" s="1"/>
  <c r="L31" i="1"/>
  <c r="K31" i="1"/>
  <c r="G31" i="1"/>
  <c r="H31" i="1" s="1"/>
  <c r="I31" i="1" s="1"/>
  <c r="J31" i="1" s="1"/>
  <c r="L30" i="1"/>
  <c r="K30" i="1"/>
  <c r="G30" i="1"/>
  <c r="H30" i="1" s="1"/>
  <c r="I30" i="1" s="1"/>
  <c r="J30" i="1" s="1"/>
  <c r="L29" i="1"/>
  <c r="K29" i="1"/>
  <c r="G29" i="1"/>
  <c r="H29" i="1" s="1"/>
  <c r="I29" i="1" s="1"/>
  <c r="J29" i="1" s="1"/>
  <c r="L28" i="1"/>
  <c r="K28" i="1"/>
  <c r="G28" i="1"/>
  <c r="H28" i="1" s="1"/>
  <c r="I28" i="1" s="1"/>
  <c r="J28" i="1" s="1"/>
  <c r="L27" i="1"/>
  <c r="K27" i="1"/>
  <c r="G27" i="1"/>
  <c r="H27" i="1" s="1"/>
  <c r="I27" i="1" s="1"/>
  <c r="J27" i="1" s="1"/>
  <c r="L26" i="1"/>
  <c r="K26" i="1"/>
  <c r="G26" i="1"/>
  <c r="H26" i="1" s="1"/>
  <c r="I26" i="1" s="1"/>
  <c r="J26" i="1" s="1"/>
  <c r="L25" i="1"/>
  <c r="K25" i="1"/>
  <c r="G25" i="1"/>
  <c r="H25" i="1" s="1"/>
  <c r="I25" i="1" s="1"/>
  <c r="J25" i="1" s="1"/>
  <c r="L24" i="1"/>
  <c r="K24" i="1"/>
  <c r="G24" i="1"/>
  <c r="H24" i="1" s="1"/>
  <c r="I24" i="1" s="1"/>
  <c r="J24" i="1" s="1"/>
  <c r="L23" i="1"/>
  <c r="K23" i="1"/>
  <c r="G23" i="1"/>
  <c r="H23" i="1" s="1"/>
  <c r="I23" i="1" s="1"/>
  <c r="J23" i="1" s="1"/>
  <c r="L22" i="1"/>
  <c r="K22" i="1"/>
  <c r="G22" i="1"/>
  <c r="H22" i="1" s="1"/>
  <c r="I22" i="1" s="1"/>
  <c r="J22" i="1" s="1"/>
  <c r="L21" i="1"/>
  <c r="K21" i="1"/>
  <c r="G21" i="1"/>
  <c r="H21" i="1" s="1"/>
  <c r="I21" i="1" s="1"/>
  <c r="J21" i="1" s="1"/>
  <c r="L20" i="1"/>
  <c r="K20" i="1"/>
  <c r="G20" i="1"/>
  <c r="H20" i="1" s="1"/>
  <c r="I20" i="1" s="1"/>
  <c r="J20" i="1" s="1"/>
  <c r="L19" i="1"/>
  <c r="K19" i="1"/>
  <c r="G19" i="1"/>
  <c r="H19" i="1" s="1"/>
  <c r="I19" i="1" s="1"/>
  <c r="J19" i="1" s="1"/>
  <c r="L18" i="1"/>
  <c r="K18" i="1"/>
  <c r="G18" i="1"/>
  <c r="H18" i="1" s="1"/>
  <c r="I18" i="1" s="1"/>
  <c r="J18" i="1" s="1"/>
  <c r="L17" i="1"/>
  <c r="K17" i="1"/>
  <c r="G17" i="1"/>
  <c r="H17" i="1" s="1"/>
  <c r="I17" i="1" s="1"/>
  <c r="J17" i="1" s="1"/>
  <c r="L16" i="1"/>
  <c r="K16" i="1"/>
  <c r="G16" i="1"/>
  <c r="H16" i="1" s="1"/>
  <c r="I16" i="1" s="1"/>
  <c r="J16" i="1" s="1"/>
  <c r="L15" i="1"/>
  <c r="K15" i="1"/>
  <c r="G15" i="1"/>
  <c r="H15" i="1" s="1"/>
  <c r="I15" i="1" s="1"/>
  <c r="J15" i="1" s="1"/>
  <c r="L14" i="1"/>
  <c r="K14" i="1"/>
  <c r="G14" i="1"/>
  <c r="H14" i="1" s="1"/>
  <c r="I14" i="1" s="1"/>
  <c r="J14" i="1" s="1"/>
  <c r="L13" i="1"/>
  <c r="K13" i="1"/>
  <c r="G13" i="1"/>
  <c r="H13" i="1" s="1"/>
  <c r="I13" i="1" s="1"/>
  <c r="J13" i="1" s="1"/>
  <c r="L12" i="1"/>
  <c r="K12" i="1"/>
  <c r="G12" i="1"/>
  <c r="H12" i="1" s="1"/>
  <c r="I12" i="1" s="1"/>
  <c r="J12" i="1" s="1"/>
  <c r="L11" i="1"/>
  <c r="K11" i="1"/>
  <c r="G11" i="1"/>
  <c r="H11" i="1" s="1"/>
  <c r="I11" i="1" s="1"/>
  <c r="J11" i="1" s="1"/>
  <c r="L10" i="1"/>
  <c r="K10" i="1"/>
  <c r="G10" i="1"/>
  <c r="H10" i="1" s="1"/>
  <c r="I10" i="1" s="1"/>
  <c r="J10" i="1" s="1"/>
  <c r="L9" i="1"/>
  <c r="K9" i="1"/>
  <c r="G9" i="1"/>
  <c r="H9" i="1" s="1"/>
  <c r="I9" i="1" s="1"/>
  <c r="J9" i="1" s="1"/>
  <c r="L8" i="1"/>
  <c r="K8" i="1"/>
  <c r="G8" i="1"/>
  <c r="H8" i="1" s="1"/>
  <c r="I8" i="1" s="1"/>
  <c r="J8" i="1" s="1"/>
  <c r="L7" i="1"/>
  <c r="K7" i="1"/>
  <c r="G7" i="1"/>
  <c r="H7" i="1" s="1"/>
  <c r="I7" i="1" s="1"/>
  <c r="J7" i="1" s="1"/>
  <c r="L6" i="1"/>
  <c r="K6" i="1"/>
  <c r="G6" i="1"/>
  <c r="H6" i="1" s="1"/>
  <c r="I6" i="1" s="1"/>
  <c r="J6" i="1" s="1"/>
  <c r="L5" i="1"/>
  <c r="K5" i="1"/>
  <c r="G5" i="1"/>
  <c r="H5" i="1" s="1"/>
  <c r="I5" i="1" s="1"/>
  <c r="J5" i="1" s="1"/>
  <c r="L4" i="1"/>
  <c r="K4" i="1"/>
  <c r="F4" i="1"/>
  <c r="D4" i="1"/>
  <c r="E4" i="1" s="1"/>
  <c r="G4" i="1" s="1"/>
  <c r="H4" i="1" l="1"/>
  <c r="I4" i="1" s="1"/>
  <c r="J4" i="1" s="1"/>
</calcChain>
</file>

<file path=xl/sharedStrings.xml><?xml version="1.0" encoding="utf-8"?>
<sst xmlns="http://schemas.openxmlformats.org/spreadsheetml/2006/main" count="64" uniqueCount="62">
  <si>
    <t>COTIZADOR PERSONAL SHOPPER</t>
  </si>
  <si>
    <t>TRM NEGOCIO:</t>
  </si>
  <si>
    <t>Actualiza aquí: TRM del día + $100</t>
  </si>
  <si>
    <t>PRODUCTO</t>
  </si>
  <si>
    <t>CATEGORÍA</t>
  </si>
  <si>
    <t>PRECIO USA (USD)</t>
  </si>
  <si>
    <t>TAX</t>
  </si>
  <si>
    <t>TOTAL USA (USD)</t>
  </si>
  <si>
    <t>TRM NEGOCIO</t>
  </si>
  <si>
    <t>COSTO TOTAL COP</t>
  </si>
  <si>
    <t>PRECIO CLIENTE</t>
  </si>
  <si>
    <t>GANANCIA TOTAL</t>
  </si>
  <si>
    <t>ESTADO</t>
  </si>
  <si>
    <t>Ropa</t>
  </si>
  <si>
    <t>CÓMO USARLO</t>
  </si>
  <si>
    <t>1. Actualiza G2 con la TRM del día + $100.</t>
  </si>
  <si>
    <t>2. Escribe el producto, selecciona la categoría y coloca el precio en USD.</t>
  </si>
  <si>
    <t>3. El TAX se calcula al 7% automáticamente.</t>
  </si>
  <si>
    <t>4. El costo total se convierte a COP automáticamente.</t>
  </si>
  <si>
    <t>5. El precio cliente aplica el recargo de la categoría y respeta la utilidad mínima.</t>
  </si>
  <si>
    <t>6. El precio se redondea SIEMPRE hacia arriba al múltiplo de $10.000.</t>
  </si>
  <si>
    <t>7. Ganancia Total = Precio Cliente - Costo Total.</t>
  </si>
  <si>
    <t>8. CONFIGURACIÓN contiene todos los porcentajes y mínimos para que puedas modificarlos.</t>
  </si>
  <si>
    <t>RECARGO</t>
  </si>
  <si>
    <t>UTILIDAD MÍNIMA</t>
  </si>
  <si>
    <t>Tenis</t>
  </si>
  <si>
    <t>Bolsos / Morrales</t>
  </si>
  <si>
    <t>Gorras</t>
  </si>
  <si>
    <t>Carteras</t>
  </si>
  <si>
    <t>Billeteras</t>
  </si>
  <si>
    <t>Cinturones</t>
  </si>
  <si>
    <t>Gafas</t>
  </si>
  <si>
    <t>Accesorios</t>
  </si>
  <si>
    <t>Chaquetas</t>
  </si>
  <si>
    <t>Shorts</t>
  </si>
  <si>
    <t>Ropa deportiva</t>
  </si>
  <si>
    <t>Vestidos</t>
  </si>
  <si>
    <t>Hoodies / Buzos</t>
  </si>
  <si>
    <t>Relojes económicos</t>
  </si>
  <si>
    <t>Relojes de marca</t>
  </si>
  <si>
    <t>Relojes premium</t>
  </si>
  <si>
    <t>Lujo / Diseñador</t>
  </si>
  <si>
    <t>Maquillaje</t>
  </si>
  <si>
    <t>Perfumes</t>
  </si>
  <si>
    <t>Skincare</t>
  </si>
  <si>
    <t>Cuidado capilar</t>
  </si>
  <si>
    <t>Sets de belleza</t>
  </si>
  <si>
    <t>Videojuegos</t>
  </si>
  <si>
    <t>Controles</t>
  </si>
  <si>
    <t>Accesorios gaming</t>
  </si>
  <si>
    <t>Consolas</t>
  </si>
  <si>
    <t>Consolas en oferta</t>
  </si>
  <si>
    <t>Audífonos</t>
  </si>
  <si>
    <t>Parlantes</t>
  </si>
  <si>
    <t>Teclados</t>
  </si>
  <si>
    <t>Mouse</t>
  </si>
  <si>
    <t>Cámaras</t>
  </si>
  <si>
    <t>Lentes fotográficos</t>
  </si>
  <si>
    <t>GPU</t>
  </si>
  <si>
    <t>Componentes PC</t>
  </si>
  <si>
    <t>Monitores</t>
  </si>
  <si>
    <t>SALE / 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</si>
</sst>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6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165" fontId="0" fillId="0" borderId="0" xfId="0" applyNumberFormat="1"/>
    <xf numFmtId="164" fontId="0" fillId="0" borderId="0" xfId="0" applyNumberFormat="1"/>
    <xf numFmtId="9" fontId="0" fillId="0" borderId="0" xfId="0" applyNumberFormat="1"/>
    <xf numFmtId="0" fontId="5" fillId="0" borderId="0" xfId="0" applyFont="1"/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  <xf numFmtId="0" fontId="3" fillId="0" borderId="1" xfId="0" applyFont="1" applyBorder="1"/>
    <xf numFmtId="0" fontId="2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workbookViewId="0">
      <pane ySplit="3" topLeftCell="A4" activePane="bottomLeft" state="frozen"/>
      <selection activeCell="G3" sqref="G3"/>
      <selection pane="bottomLeft" activeCell="N7" sqref="N7"/>
    </sheetView>
  </sheetViews>
  <sheetFormatPr baseColWidth="10" defaultColWidth="8.88671875" defaultRowHeight="14.4" x14ac:dyDescent="0.3"/>
  <cols>
    <col min="1" max="1" width="28" customWidth="1"/>
    <col min="2" max="2" width="24" customWidth="1"/>
    <col min="3" max="3" width="21.21875" customWidth="1"/>
    <col min="4" max="4" width="9.109375" customWidth="1"/>
    <col min="5" max="5" width="20.33203125" customWidth="1"/>
    <col min="6" max="6" width="18.6640625" customWidth="1"/>
    <col min="7" max="7" width="21" customWidth="1"/>
    <col min="8" max="8" width="19" customWidth="1"/>
    <col min="9" max="9" width="20.44140625" customWidth="1"/>
    <col min="10" max="10" width="12.6640625" customWidth="1"/>
    <col min="11" max="12" width="13" hidden="1" customWidth="1"/>
  </cols>
  <sheetData>
    <row r="1" spans="1:12" ht="23.4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3"/>
    </row>
    <row r="2" spans="1:12" x14ac:dyDescent="0.3">
      <c r="A2" s="6"/>
      <c r="B2" s="6"/>
      <c r="C2" s="6"/>
      <c r="D2" s="6"/>
      <c r="E2" s="6"/>
      <c r="F2" s="9" t="s">
        <v>1</v>
      </c>
      <c r="G2" s="7">
        <v>3200</v>
      </c>
      <c r="H2" s="14" t="s">
        <v>2</v>
      </c>
      <c r="I2" s="14"/>
      <c r="J2" s="6"/>
    </row>
    <row r="3" spans="1:12" x14ac:dyDescent="0.3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</row>
    <row r="4" spans="1:12" x14ac:dyDescent="0.3">
      <c r="A4" s="6"/>
      <c r="B4" s="6" t="s">
        <v>13</v>
      </c>
      <c r="C4" s="7">
        <v>60</v>
      </c>
      <c r="D4" s="7">
        <f t="shared" ref="D4" si="0">IF(C4="","",C4*7%)</f>
        <v>4.2</v>
      </c>
      <c r="E4" s="7">
        <f t="shared" ref="E4" si="1">IF(C4="","",C4+D4)</f>
        <v>64.2</v>
      </c>
      <c r="F4" s="7">
        <f>$G$2</f>
        <v>3200</v>
      </c>
      <c r="G4" s="8">
        <f t="shared" ref="G4:G35" si="2">IF(E4="","",E4*F4)</f>
        <v>205440</v>
      </c>
      <c r="H4" s="8">
        <f t="shared" ref="H4:H35" si="3">IF(G4="","",ROUNDUP(MAX(G4*(1+K4),G4+L4),-4))</f>
        <v>290000</v>
      </c>
      <c r="I4" s="8">
        <f t="shared" ref="I4:I35" si="4">IF(H4="","",H4-G4)</f>
        <v>84560</v>
      </c>
      <c r="J4" s="6" t="str">
        <f t="shared" ref="J4:J35" si="5">IF(I4="","",IF(I4&lt;0,"PÉRDIDA",IF(I4&lt;L4,"REVISAR","GANANCIA")))</f>
        <v>GANANCIA</v>
      </c>
      <c r="K4" s="4">
        <f>IFERROR(VLOOKUP(B4,CONFIGURACIÓN!$A$2:$C$39,2,FALSE),0)</f>
        <v>0.4</v>
      </c>
      <c r="L4" s="3">
        <f>IFERROR(VLOOKUP(B4,CONFIGURACIÓN!$A$2:$C$39,3,FALSE),0)</f>
        <v>80000</v>
      </c>
    </row>
    <row r="5" spans="1:12" x14ac:dyDescent="0.3">
      <c r="C5" s="2"/>
      <c r="D5" s="2"/>
      <c r="E5" s="2"/>
      <c r="F5" s="2"/>
      <c r="G5" s="3" t="str">
        <f t="shared" si="2"/>
        <v/>
      </c>
      <c r="H5" s="3" t="str">
        <f t="shared" si="3"/>
        <v/>
      </c>
      <c r="I5" s="3" t="str">
        <f t="shared" si="4"/>
        <v/>
      </c>
      <c r="J5" t="str">
        <f t="shared" si="5"/>
        <v/>
      </c>
      <c r="K5" s="4">
        <f>IFERROR(VLOOKUP(B5,CONFIGURACIÓN!$A$2:$C$39,2,FALSE),0)</f>
        <v>0</v>
      </c>
      <c r="L5" s="3">
        <f>IFERROR(VLOOKUP(B5,CONFIGURACIÓN!$A$2:$C$39,3,FALSE),0)</f>
        <v>0</v>
      </c>
    </row>
    <row r="6" spans="1:12" x14ac:dyDescent="0.3">
      <c r="C6" s="2"/>
      <c r="D6" s="2"/>
      <c r="E6" s="2"/>
      <c r="F6" s="2"/>
      <c r="G6" s="3" t="str">
        <f t="shared" si="2"/>
        <v/>
      </c>
      <c r="H6" s="3" t="str">
        <f t="shared" si="3"/>
        <v/>
      </c>
      <c r="I6" s="3" t="str">
        <f t="shared" si="4"/>
        <v/>
      </c>
      <c r="J6" t="str">
        <f t="shared" si="5"/>
        <v/>
      </c>
      <c r="K6" s="4">
        <f>IFERROR(VLOOKUP(B6,CONFIGURACIÓN!$A$2:$C$39,2,FALSE),0)</f>
        <v>0</v>
      </c>
      <c r="L6" s="3">
        <f>IFERROR(VLOOKUP(B6,CONFIGURACIÓN!$A$2:$C$39,3,FALSE),0)</f>
        <v>0</v>
      </c>
    </row>
    <row r="7" spans="1:12" x14ac:dyDescent="0.3">
      <c r="C7" s="2"/>
      <c r="D7" s="2"/>
      <c r="E7" s="2"/>
      <c r="F7" s="2"/>
      <c r="G7" s="3" t="str">
        <f t="shared" si="2"/>
        <v/>
      </c>
      <c r="H7" s="3" t="str">
        <f t="shared" si="3"/>
        <v/>
      </c>
      <c r="I7" s="3" t="str">
        <f t="shared" si="4"/>
        <v/>
      </c>
      <c r="J7" t="str">
        <f t="shared" si="5"/>
        <v/>
      </c>
      <c r="K7" s="4">
        <f>IFERROR(VLOOKUP(B7,CONFIGURACIÓN!$A$2:$C$39,2,FALSE),0)</f>
        <v>0</v>
      </c>
      <c r="L7" s="3">
        <f>IFERROR(VLOOKUP(B7,CONFIGURACIÓN!$A$2:$C$39,3,FALSE),0)</f>
        <v>0</v>
      </c>
    </row>
    <row r="8" spans="1:12" x14ac:dyDescent="0.3">
      <c r="C8" s="2"/>
      <c r="D8" s="2"/>
      <c r="E8" s="2"/>
      <c r="F8" s="2"/>
      <c r="G8" s="3" t="str">
        <f t="shared" si="2"/>
        <v/>
      </c>
      <c r="H8" s="3" t="str">
        <f t="shared" si="3"/>
        <v/>
      </c>
      <c r="I8" s="3" t="str">
        <f t="shared" si="4"/>
        <v/>
      </c>
      <c r="J8" t="str">
        <f t="shared" si="5"/>
        <v/>
      </c>
      <c r="K8" s="4">
        <f>IFERROR(VLOOKUP(B8,CONFIGURACIÓN!$A$2:$C$39,2,FALSE),0)</f>
        <v>0</v>
      </c>
      <c r="L8" s="3">
        <f>IFERROR(VLOOKUP(B8,CONFIGURACIÓN!$A$2:$C$39,3,FALSE),0)</f>
        <v>0</v>
      </c>
    </row>
    <row r="9" spans="1:12" x14ac:dyDescent="0.3">
      <c r="C9" s="2"/>
      <c r="D9" s="2"/>
      <c r="E9" s="2"/>
      <c r="F9" s="2"/>
      <c r="G9" s="3" t="str">
        <f t="shared" si="2"/>
        <v/>
      </c>
      <c r="H9" s="3" t="str">
        <f t="shared" si="3"/>
        <v/>
      </c>
      <c r="I9" s="3" t="str">
        <f t="shared" si="4"/>
        <v/>
      </c>
      <c r="J9" t="str">
        <f t="shared" si="5"/>
        <v/>
      </c>
      <c r="K9" s="4">
        <f>IFERROR(VLOOKUP(B9,CONFIGURACIÓN!$A$2:$C$39,2,FALSE),0)</f>
        <v>0</v>
      </c>
      <c r="L9" s="3">
        <f>IFERROR(VLOOKUP(B9,CONFIGURACIÓN!$A$2:$C$39,3,FALSE),0)</f>
        <v>0</v>
      </c>
    </row>
    <row r="10" spans="1:12" x14ac:dyDescent="0.3">
      <c r="C10" s="2"/>
      <c r="D10" s="2"/>
      <c r="E10" s="2"/>
      <c r="F10" s="2"/>
      <c r="G10" s="3" t="str">
        <f t="shared" si="2"/>
        <v/>
      </c>
      <c r="H10" s="3" t="str">
        <f t="shared" si="3"/>
        <v/>
      </c>
      <c r="I10" s="3" t="str">
        <f t="shared" si="4"/>
        <v/>
      </c>
      <c r="J10" t="str">
        <f t="shared" si="5"/>
        <v/>
      </c>
      <c r="K10" s="4">
        <f>IFERROR(VLOOKUP(B10,CONFIGURACIÓN!$A$2:$C$39,2,FALSE),0)</f>
        <v>0</v>
      </c>
      <c r="L10" s="3">
        <f>IFERROR(VLOOKUP(B10,CONFIGURACIÓN!$A$2:$C$39,3,FALSE),0)</f>
        <v>0</v>
      </c>
    </row>
    <row r="11" spans="1:12" x14ac:dyDescent="0.3">
      <c r="C11" s="2"/>
      <c r="D11" s="2"/>
      <c r="E11" s="2"/>
      <c r="F11" s="2"/>
      <c r="G11" s="3" t="str">
        <f t="shared" si="2"/>
        <v/>
      </c>
      <c r="H11" s="3" t="str">
        <f t="shared" si="3"/>
        <v/>
      </c>
      <c r="I11" s="3" t="str">
        <f t="shared" si="4"/>
        <v/>
      </c>
      <c r="J11" t="str">
        <f t="shared" si="5"/>
        <v/>
      </c>
      <c r="K11" s="4">
        <f>IFERROR(VLOOKUP(B11,CONFIGURACIÓN!$A$2:$C$39,2,FALSE),0)</f>
        <v>0</v>
      </c>
      <c r="L11" s="3">
        <f>IFERROR(VLOOKUP(B11,CONFIGURACIÓN!$A$2:$C$39,3,FALSE),0)</f>
        <v>0</v>
      </c>
    </row>
    <row r="12" spans="1:12" x14ac:dyDescent="0.3">
      <c r="C12" s="2"/>
      <c r="D12" s="2"/>
      <c r="E12" s="2"/>
      <c r="F12" s="2"/>
      <c r="G12" s="3" t="str">
        <f t="shared" si="2"/>
        <v/>
      </c>
      <c r="H12" s="3" t="str">
        <f t="shared" si="3"/>
        <v/>
      </c>
      <c r="I12" s="3" t="str">
        <f t="shared" si="4"/>
        <v/>
      </c>
      <c r="J12" t="str">
        <f t="shared" si="5"/>
        <v/>
      </c>
      <c r="K12" s="4">
        <f>IFERROR(VLOOKUP(B12,CONFIGURACIÓN!$A$2:$C$39,2,FALSE),0)</f>
        <v>0</v>
      </c>
      <c r="L12" s="3">
        <f>IFERROR(VLOOKUP(B12,CONFIGURACIÓN!$A$2:$C$39,3,FALSE),0)</f>
        <v>0</v>
      </c>
    </row>
    <row r="13" spans="1:12" x14ac:dyDescent="0.3">
      <c r="C13" s="2"/>
      <c r="D13" s="2"/>
      <c r="E13" s="2"/>
      <c r="F13" s="2"/>
      <c r="G13" s="3" t="str">
        <f t="shared" si="2"/>
        <v/>
      </c>
      <c r="H13" s="3" t="str">
        <f t="shared" si="3"/>
        <v/>
      </c>
      <c r="I13" s="3" t="str">
        <f t="shared" si="4"/>
        <v/>
      </c>
      <c r="J13" t="str">
        <f t="shared" si="5"/>
        <v/>
      </c>
      <c r="K13" s="4">
        <f>IFERROR(VLOOKUP(B13,CONFIGURACIÓN!$A$2:$C$39,2,FALSE),0)</f>
        <v>0</v>
      </c>
      <c r="L13" s="3">
        <f>IFERROR(VLOOKUP(B13,CONFIGURACIÓN!$A$2:$C$39,3,FALSE),0)</f>
        <v>0</v>
      </c>
    </row>
    <row r="14" spans="1:12" x14ac:dyDescent="0.3">
      <c r="C14" s="2"/>
      <c r="D14" s="2"/>
      <c r="E14" s="2"/>
      <c r="F14" s="2"/>
      <c r="G14" s="3" t="str">
        <f t="shared" si="2"/>
        <v/>
      </c>
      <c r="H14" s="3" t="str">
        <f t="shared" si="3"/>
        <v/>
      </c>
      <c r="I14" s="3" t="str">
        <f t="shared" si="4"/>
        <v/>
      </c>
      <c r="J14" t="str">
        <f t="shared" si="5"/>
        <v/>
      </c>
      <c r="K14" s="4">
        <f>IFERROR(VLOOKUP(B14,CONFIGURACIÓN!$A$2:$C$39,2,FALSE),0)</f>
        <v>0</v>
      </c>
      <c r="L14" s="3">
        <f>IFERROR(VLOOKUP(B14,CONFIGURACIÓN!$A$2:$C$39,3,FALSE),0)</f>
        <v>0</v>
      </c>
    </row>
    <row r="15" spans="1:12" x14ac:dyDescent="0.3">
      <c r="C15" s="2"/>
      <c r="D15" s="2"/>
      <c r="E15" s="2"/>
      <c r="F15" s="2"/>
      <c r="G15" s="3" t="str">
        <f t="shared" si="2"/>
        <v/>
      </c>
      <c r="H15" s="3" t="str">
        <f t="shared" si="3"/>
        <v/>
      </c>
      <c r="I15" s="3" t="str">
        <f t="shared" si="4"/>
        <v/>
      </c>
      <c r="J15" t="str">
        <f t="shared" si="5"/>
        <v/>
      </c>
      <c r="K15" s="4">
        <f>IFERROR(VLOOKUP(B15,CONFIGURACIÓN!$A$2:$C$39,2,FALSE),0)</f>
        <v>0</v>
      </c>
      <c r="L15" s="3">
        <f>IFERROR(VLOOKUP(B15,CONFIGURACIÓN!$A$2:$C$39,3,FALSE),0)</f>
        <v>0</v>
      </c>
    </row>
    <row r="16" spans="1:12" x14ac:dyDescent="0.3">
      <c r="C16" s="2"/>
      <c r="D16" s="2"/>
      <c r="E16" s="2"/>
      <c r="F16" s="2"/>
      <c r="G16" s="3" t="str">
        <f t="shared" si="2"/>
        <v/>
      </c>
      <c r="H16" s="3" t="str">
        <f t="shared" si="3"/>
        <v/>
      </c>
      <c r="I16" s="3" t="str">
        <f t="shared" si="4"/>
        <v/>
      </c>
      <c r="J16" t="str">
        <f t="shared" si="5"/>
        <v/>
      </c>
      <c r="K16" s="4">
        <f>IFERROR(VLOOKUP(B16,CONFIGURACIÓN!$A$2:$C$39,2,FALSE),0)</f>
        <v>0</v>
      </c>
      <c r="L16" s="3">
        <f>IFERROR(VLOOKUP(B16,CONFIGURACIÓN!$A$2:$C$39,3,FALSE),0)</f>
        <v>0</v>
      </c>
    </row>
    <row r="17" spans="3:12" x14ac:dyDescent="0.3">
      <c r="C17" s="2"/>
      <c r="D17" s="2"/>
      <c r="E17" s="2"/>
      <c r="F17" s="2"/>
      <c r="G17" s="3" t="str">
        <f t="shared" si="2"/>
        <v/>
      </c>
      <c r="H17" s="3" t="str">
        <f t="shared" si="3"/>
        <v/>
      </c>
      <c r="I17" s="3" t="str">
        <f t="shared" si="4"/>
        <v/>
      </c>
      <c r="J17" t="str">
        <f t="shared" si="5"/>
        <v/>
      </c>
      <c r="K17" s="4">
        <f>IFERROR(VLOOKUP(B17,CONFIGURACIÓN!$A$2:$C$39,2,FALSE),0)</f>
        <v>0</v>
      </c>
      <c r="L17" s="3">
        <f>IFERROR(VLOOKUP(B17,CONFIGURACIÓN!$A$2:$C$39,3,FALSE),0)</f>
        <v>0</v>
      </c>
    </row>
    <row r="18" spans="3:12" x14ac:dyDescent="0.3">
      <c r="C18" s="2"/>
      <c r="D18" s="2"/>
      <c r="E18" s="2"/>
      <c r="F18" s="2"/>
      <c r="G18" s="3" t="str">
        <f t="shared" si="2"/>
        <v/>
      </c>
      <c r="H18" s="3" t="str">
        <f t="shared" si="3"/>
        <v/>
      </c>
      <c r="I18" s="3" t="str">
        <f t="shared" si="4"/>
        <v/>
      </c>
      <c r="J18" t="str">
        <f t="shared" si="5"/>
        <v/>
      </c>
      <c r="K18" s="4">
        <f>IFERROR(VLOOKUP(B18,CONFIGURACIÓN!$A$2:$C$39,2,FALSE),0)</f>
        <v>0</v>
      </c>
      <c r="L18" s="3">
        <f>IFERROR(VLOOKUP(B18,CONFIGURACIÓN!$A$2:$C$39,3,FALSE),0)</f>
        <v>0</v>
      </c>
    </row>
    <row r="19" spans="3:12" x14ac:dyDescent="0.3">
      <c r="C19" s="2"/>
      <c r="D19" s="2"/>
      <c r="E19" s="2"/>
      <c r="F19" s="2"/>
      <c r="G19" s="3" t="str">
        <f t="shared" si="2"/>
        <v/>
      </c>
      <c r="H19" s="3" t="str">
        <f t="shared" si="3"/>
        <v/>
      </c>
      <c r="I19" s="3" t="str">
        <f t="shared" si="4"/>
        <v/>
      </c>
      <c r="J19" t="str">
        <f t="shared" si="5"/>
        <v/>
      </c>
      <c r="K19" s="4">
        <f>IFERROR(VLOOKUP(B19,CONFIGURACIÓN!$A$2:$C$39,2,FALSE),0)</f>
        <v>0</v>
      </c>
      <c r="L19" s="3">
        <f>IFERROR(VLOOKUP(B19,CONFIGURACIÓN!$A$2:$C$39,3,FALSE),0)</f>
        <v>0</v>
      </c>
    </row>
    <row r="20" spans="3:12" x14ac:dyDescent="0.3">
      <c r="C20" s="2"/>
      <c r="D20" s="2"/>
      <c r="E20" s="2"/>
      <c r="F20" s="2"/>
      <c r="G20" s="3" t="str">
        <f t="shared" si="2"/>
        <v/>
      </c>
      <c r="H20" s="3" t="str">
        <f t="shared" si="3"/>
        <v/>
      </c>
      <c r="I20" s="3" t="str">
        <f t="shared" si="4"/>
        <v/>
      </c>
      <c r="J20" t="str">
        <f t="shared" si="5"/>
        <v/>
      </c>
      <c r="K20" s="4">
        <f>IFERROR(VLOOKUP(B20,CONFIGURACIÓN!$A$2:$C$39,2,FALSE),0)</f>
        <v>0</v>
      </c>
      <c r="L20" s="3">
        <f>IFERROR(VLOOKUP(B20,CONFIGURACIÓN!$A$2:$C$39,3,FALSE),0)</f>
        <v>0</v>
      </c>
    </row>
    <row r="21" spans="3:12" x14ac:dyDescent="0.3">
      <c r="C21" s="2"/>
      <c r="D21" s="2"/>
      <c r="E21" s="2"/>
      <c r="F21" s="2"/>
      <c r="G21" s="3" t="str">
        <f t="shared" si="2"/>
        <v/>
      </c>
      <c r="H21" s="3" t="str">
        <f t="shared" si="3"/>
        <v/>
      </c>
      <c r="I21" s="3" t="str">
        <f t="shared" si="4"/>
        <v/>
      </c>
      <c r="J21" t="str">
        <f t="shared" si="5"/>
        <v/>
      </c>
      <c r="K21" s="4">
        <f>IFERROR(VLOOKUP(B21,CONFIGURACIÓN!$A$2:$C$39,2,FALSE),0)</f>
        <v>0</v>
      </c>
      <c r="L21" s="3">
        <f>IFERROR(VLOOKUP(B21,CONFIGURACIÓN!$A$2:$C$39,3,FALSE),0)</f>
        <v>0</v>
      </c>
    </row>
    <row r="22" spans="3:12" x14ac:dyDescent="0.3">
      <c r="C22" s="2"/>
      <c r="D22" s="2"/>
      <c r="E22" s="2"/>
      <c r="F22" s="2"/>
      <c r="G22" s="3" t="str">
        <f t="shared" si="2"/>
        <v/>
      </c>
      <c r="H22" s="3" t="str">
        <f t="shared" si="3"/>
        <v/>
      </c>
      <c r="I22" s="3" t="str">
        <f t="shared" si="4"/>
        <v/>
      </c>
      <c r="J22" t="str">
        <f t="shared" si="5"/>
        <v/>
      </c>
      <c r="K22" s="4">
        <f>IFERROR(VLOOKUP(B22,CONFIGURACIÓN!$A$2:$C$39,2,FALSE),0)</f>
        <v>0</v>
      </c>
      <c r="L22" s="3">
        <f>IFERROR(VLOOKUP(B22,CONFIGURACIÓN!$A$2:$C$39,3,FALSE),0)</f>
        <v>0</v>
      </c>
    </row>
    <row r="23" spans="3:12" x14ac:dyDescent="0.3">
      <c r="C23" s="2"/>
      <c r="D23" s="2"/>
      <c r="E23" s="2"/>
      <c r="F23" s="2"/>
      <c r="G23" s="3" t="str">
        <f t="shared" si="2"/>
        <v/>
      </c>
      <c r="H23" s="3" t="str">
        <f t="shared" si="3"/>
        <v/>
      </c>
      <c r="I23" s="3" t="str">
        <f t="shared" si="4"/>
        <v/>
      </c>
      <c r="J23" t="str">
        <f t="shared" si="5"/>
        <v/>
      </c>
      <c r="K23" s="4">
        <f>IFERROR(VLOOKUP(B23,CONFIGURACIÓN!$A$2:$C$39,2,FALSE),0)</f>
        <v>0</v>
      </c>
      <c r="L23" s="3">
        <f>IFERROR(VLOOKUP(B23,CONFIGURACIÓN!$A$2:$C$39,3,FALSE),0)</f>
        <v>0</v>
      </c>
    </row>
    <row r="24" spans="3:12" x14ac:dyDescent="0.3">
      <c r="C24" s="2"/>
      <c r="D24" s="2"/>
      <c r="E24" s="2"/>
      <c r="F24" s="2"/>
      <c r="G24" s="3" t="str">
        <f t="shared" si="2"/>
        <v/>
      </c>
      <c r="H24" s="3" t="str">
        <f t="shared" si="3"/>
        <v/>
      </c>
      <c r="I24" s="3" t="str">
        <f t="shared" si="4"/>
        <v/>
      </c>
      <c r="J24" t="str">
        <f t="shared" si="5"/>
        <v/>
      </c>
      <c r="K24" s="4">
        <f>IFERROR(VLOOKUP(B24,CONFIGURACIÓN!$A$2:$C$39,2,FALSE),0)</f>
        <v>0</v>
      </c>
      <c r="L24" s="3">
        <f>IFERROR(VLOOKUP(B24,CONFIGURACIÓN!$A$2:$C$39,3,FALSE),0)</f>
        <v>0</v>
      </c>
    </row>
    <row r="25" spans="3:12" x14ac:dyDescent="0.3">
      <c r="C25" s="2"/>
      <c r="D25" s="2"/>
      <c r="E25" s="2"/>
      <c r="F25" s="2"/>
      <c r="G25" s="3" t="str">
        <f t="shared" si="2"/>
        <v/>
      </c>
      <c r="H25" s="3" t="str">
        <f t="shared" si="3"/>
        <v/>
      </c>
      <c r="I25" s="3" t="str">
        <f t="shared" si="4"/>
        <v/>
      </c>
      <c r="J25" t="str">
        <f t="shared" si="5"/>
        <v/>
      </c>
      <c r="K25" s="4">
        <f>IFERROR(VLOOKUP(B25,CONFIGURACIÓN!$A$2:$C$39,2,FALSE),0)</f>
        <v>0</v>
      </c>
      <c r="L25" s="3">
        <f>IFERROR(VLOOKUP(B25,CONFIGURACIÓN!$A$2:$C$39,3,FALSE),0)</f>
        <v>0</v>
      </c>
    </row>
    <row r="26" spans="3:12" x14ac:dyDescent="0.3">
      <c r="C26" s="2"/>
      <c r="D26" s="2"/>
      <c r="E26" s="2"/>
      <c r="F26" s="2"/>
      <c r="G26" s="3" t="str">
        <f t="shared" si="2"/>
        <v/>
      </c>
      <c r="H26" s="3" t="str">
        <f t="shared" si="3"/>
        <v/>
      </c>
      <c r="I26" s="3" t="str">
        <f t="shared" si="4"/>
        <v/>
      </c>
      <c r="J26" t="str">
        <f t="shared" si="5"/>
        <v/>
      </c>
      <c r="K26" s="4">
        <f>IFERROR(VLOOKUP(B26,CONFIGURACIÓN!$A$2:$C$39,2,FALSE),0)</f>
        <v>0</v>
      </c>
      <c r="L26" s="3">
        <f>IFERROR(VLOOKUP(B26,CONFIGURACIÓN!$A$2:$C$39,3,FALSE),0)</f>
        <v>0</v>
      </c>
    </row>
    <row r="27" spans="3:12" x14ac:dyDescent="0.3">
      <c r="C27" s="2"/>
      <c r="D27" s="2"/>
      <c r="E27" s="2"/>
      <c r="F27" s="2"/>
      <c r="G27" s="3" t="str">
        <f t="shared" si="2"/>
        <v/>
      </c>
      <c r="H27" s="3" t="str">
        <f t="shared" si="3"/>
        <v/>
      </c>
      <c r="I27" s="3" t="str">
        <f t="shared" si="4"/>
        <v/>
      </c>
      <c r="J27" t="str">
        <f t="shared" si="5"/>
        <v/>
      </c>
      <c r="K27" s="4">
        <f>IFERROR(VLOOKUP(B27,CONFIGURACIÓN!$A$2:$C$39,2,FALSE),0)</f>
        <v>0</v>
      </c>
      <c r="L27" s="3">
        <f>IFERROR(VLOOKUP(B27,CONFIGURACIÓN!$A$2:$C$39,3,FALSE),0)</f>
        <v>0</v>
      </c>
    </row>
    <row r="28" spans="3:12" x14ac:dyDescent="0.3">
      <c r="C28" s="2"/>
      <c r="D28" s="2"/>
      <c r="E28" s="2"/>
      <c r="F28" s="2"/>
      <c r="G28" s="3" t="str">
        <f t="shared" si="2"/>
        <v/>
      </c>
      <c r="H28" s="3" t="str">
        <f t="shared" si="3"/>
        <v/>
      </c>
      <c r="I28" s="3" t="str">
        <f t="shared" si="4"/>
        <v/>
      </c>
      <c r="J28" t="str">
        <f t="shared" si="5"/>
        <v/>
      </c>
      <c r="K28" s="4">
        <f>IFERROR(VLOOKUP(B28,CONFIGURACIÓN!$A$2:$C$39,2,FALSE),0)</f>
        <v>0</v>
      </c>
      <c r="L28" s="3">
        <f>IFERROR(VLOOKUP(B28,CONFIGURACIÓN!$A$2:$C$39,3,FALSE),0)</f>
        <v>0</v>
      </c>
    </row>
    <row r="29" spans="3:12" x14ac:dyDescent="0.3">
      <c r="C29" s="2"/>
      <c r="D29" s="2"/>
      <c r="E29" s="2"/>
      <c r="F29" s="2"/>
      <c r="G29" s="3" t="str">
        <f t="shared" si="2"/>
        <v/>
      </c>
      <c r="H29" s="3" t="str">
        <f t="shared" si="3"/>
        <v/>
      </c>
      <c r="I29" s="3" t="str">
        <f t="shared" si="4"/>
        <v/>
      </c>
      <c r="J29" t="str">
        <f t="shared" si="5"/>
        <v/>
      </c>
      <c r="K29" s="4">
        <f>IFERROR(VLOOKUP(B29,CONFIGURACIÓN!$A$2:$C$39,2,FALSE),0)</f>
        <v>0</v>
      </c>
      <c r="L29" s="3">
        <f>IFERROR(VLOOKUP(B29,CONFIGURACIÓN!$A$2:$C$39,3,FALSE),0)</f>
        <v>0</v>
      </c>
    </row>
    <row r="30" spans="3:12" x14ac:dyDescent="0.3">
      <c r="C30" s="2"/>
      <c r="D30" s="2"/>
      <c r="E30" s="2"/>
      <c r="F30" s="2"/>
      <c r="G30" s="3" t="str">
        <f t="shared" si="2"/>
        <v/>
      </c>
      <c r="H30" s="3" t="str">
        <f t="shared" si="3"/>
        <v/>
      </c>
      <c r="I30" s="3" t="str">
        <f t="shared" si="4"/>
        <v/>
      </c>
      <c r="J30" t="str">
        <f t="shared" si="5"/>
        <v/>
      </c>
      <c r="K30" s="4">
        <f>IFERROR(VLOOKUP(B30,CONFIGURACIÓN!$A$2:$C$39,2,FALSE),0)</f>
        <v>0</v>
      </c>
      <c r="L30" s="3">
        <f>IFERROR(VLOOKUP(B30,CONFIGURACIÓN!$A$2:$C$39,3,FALSE),0)</f>
        <v>0</v>
      </c>
    </row>
    <row r="31" spans="3:12" x14ac:dyDescent="0.3">
      <c r="C31" s="2"/>
      <c r="D31" s="2"/>
      <c r="E31" s="2"/>
      <c r="F31" s="2"/>
      <c r="G31" s="3" t="str">
        <f t="shared" si="2"/>
        <v/>
      </c>
      <c r="H31" s="3" t="str">
        <f t="shared" si="3"/>
        <v/>
      </c>
      <c r="I31" s="3" t="str">
        <f t="shared" si="4"/>
        <v/>
      </c>
      <c r="J31" t="str">
        <f t="shared" si="5"/>
        <v/>
      </c>
      <c r="K31" s="4">
        <f>IFERROR(VLOOKUP(B31,CONFIGURACIÓN!$A$2:$C$39,2,FALSE),0)</f>
        <v>0</v>
      </c>
      <c r="L31" s="3">
        <f>IFERROR(VLOOKUP(B31,CONFIGURACIÓN!$A$2:$C$39,3,FALSE),0)</f>
        <v>0</v>
      </c>
    </row>
    <row r="32" spans="3:12" x14ac:dyDescent="0.3">
      <c r="C32" s="2"/>
      <c r="D32" s="2"/>
      <c r="E32" s="2"/>
      <c r="F32" s="2"/>
      <c r="G32" s="3" t="str">
        <f t="shared" si="2"/>
        <v/>
      </c>
      <c r="H32" s="3" t="str">
        <f t="shared" si="3"/>
        <v/>
      </c>
      <c r="I32" s="3" t="str">
        <f t="shared" si="4"/>
        <v/>
      </c>
      <c r="J32" t="str">
        <f t="shared" si="5"/>
        <v/>
      </c>
      <c r="K32" s="4">
        <f>IFERROR(VLOOKUP(B32,CONFIGURACIÓN!$A$2:$C$39,2,FALSE),0)</f>
        <v>0</v>
      </c>
      <c r="L32" s="3">
        <f>IFERROR(VLOOKUP(B32,CONFIGURACIÓN!$A$2:$C$39,3,FALSE),0)</f>
        <v>0</v>
      </c>
    </row>
    <row r="33" spans="3:12" x14ac:dyDescent="0.3">
      <c r="C33" s="2"/>
      <c r="D33" s="2"/>
      <c r="E33" s="2"/>
      <c r="F33" s="2"/>
      <c r="G33" s="3" t="str">
        <f t="shared" si="2"/>
        <v/>
      </c>
      <c r="H33" s="3" t="str">
        <f t="shared" si="3"/>
        <v/>
      </c>
      <c r="I33" s="3" t="str">
        <f t="shared" si="4"/>
        <v/>
      </c>
      <c r="J33" t="str">
        <f t="shared" si="5"/>
        <v/>
      </c>
      <c r="K33" s="4">
        <f>IFERROR(VLOOKUP(B33,CONFIGURACIÓN!$A$2:$C$39,2,FALSE),0)</f>
        <v>0</v>
      </c>
      <c r="L33" s="3">
        <f>IFERROR(VLOOKUP(B33,CONFIGURACIÓN!$A$2:$C$39,3,FALSE),0)</f>
        <v>0</v>
      </c>
    </row>
    <row r="34" spans="3:12" x14ac:dyDescent="0.3">
      <c r="C34" s="2"/>
      <c r="D34" s="2"/>
      <c r="E34" s="2"/>
      <c r="F34" s="2"/>
      <c r="G34" s="3" t="str">
        <f t="shared" si="2"/>
        <v/>
      </c>
      <c r="H34" s="3" t="str">
        <f t="shared" si="3"/>
        <v/>
      </c>
      <c r="I34" s="3" t="str">
        <f t="shared" si="4"/>
        <v/>
      </c>
      <c r="J34" t="str">
        <f t="shared" si="5"/>
        <v/>
      </c>
      <c r="K34" s="4">
        <f>IFERROR(VLOOKUP(B34,CONFIGURACIÓN!$A$2:$C$39,2,FALSE),0)</f>
        <v>0</v>
      </c>
      <c r="L34" s="3">
        <f>IFERROR(VLOOKUP(B34,CONFIGURACIÓN!$A$2:$C$39,3,FALSE),0)</f>
        <v>0</v>
      </c>
    </row>
    <row r="35" spans="3:12" x14ac:dyDescent="0.3">
      <c r="C35" s="2"/>
      <c r="D35" s="2"/>
      <c r="E35" s="2"/>
      <c r="F35" s="2"/>
      <c r="G35" s="3" t="str">
        <f t="shared" si="2"/>
        <v/>
      </c>
      <c r="H35" s="3" t="str">
        <f t="shared" si="3"/>
        <v/>
      </c>
      <c r="I35" s="3" t="str">
        <f t="shared" si="4"/>
        <v/>
      </c>
      <c r="J35" t="str">
        <f t="shared" si="5"/>
        <v/>
      </c>
      <c r="K35" s="4">
        <f>IFERROR(VLOOKUP(B35,CONFIGURACIÓN!$A$2:$C$39,2,FALSE),0)</f>
        <v>0</v>
      </c>
      <c r="L35" s="3">
        <f>IFERROR(VLOOKUP(B35,CONFIGURACIÓN!$A$2:$C$39,3,FALSE),0)</f>
        <v>0</v>
      </c>
    </row>
    <row r="36" spans="3:12" x14ac:dyDescent="0.3">
      <c r="C36" s="2"/>
      <c r="D36" s="2"/>
      <c r="E36" s="2"/>
      <c r="F36" s="2"/>
      <c r="G36" s="3" t="str">
        <f t="shared" ref="G36:G67" si="6">IF(E36="","",E36*F36)</f>
        <v/>
      </c>
      <c r="H36" s="3" t="str">
        <f t="shared" ref="H36:H53" si="7">IF(G36="","",ROUNDUP(MAX(G36*(1+K36),G36+L36),-4))</f>
        <v/>
      </c>
      <c r="I36" s="3" t="str">
        <f t="shared" ref="I36:I53" si="8">IF(H36="","",H36-G36)</f>
        <v/>
      </c>
      <c r="J36" t="str">
        <f t="shared" ref="J36:J53" si="9">IF(I36="","",IF(I36&lt;0,"PÉRDIDA",IF(I36&lt;L36,"REVISAR","GANANCIA")))</f>
        <v/>
      </c>
      <c r="K36" s="4">
        <f>IFERROR(VLOOKUP(B36,CONFIGURACIÓN!$A$2:$C$39,2,FALSE),0)</f>
        <v>0</v>
      </c>
      <c r="L36" s="3">
        <f>IFERROR(VLOOKUP(B36,CONFIGURACIÓN!$A$2:$C$39,3,FALSE),0)</f>
        <v>0</v>
      </c>
    </row>
    <row r="37" spans="3:12" x14ac:dyDescent="0.3">
      <c r="C37" s="2"/>
      <c r="D37" s="2"/>
      <c r="E37" s="2"/>
      <c r="F37" s="2"/>
      <c r="G37" s="3" t="str">
        <f t="shared" si="6"/>
        <v/>
      </c>
      <c r="H37" s="3" t="str">
        <f t="shared" si="7"/>
        <v/>
      </c>
      <c r="I37" s="3" t="str">
        <f t="shared" si="8"/>
        <v/>
      </c>
      <c r="J37" t="str">
        <f t="shared" si="9"/>
        <v/>
      </c>
      <c r="K37" s="4">
        <f>IFERROR(VLOOKUP(B37,CONFIGURACIÓN!$A$2:$C$39,2,FALSE),0)</f>
        <v>0</v>
      </c>
      <c r="L37" s="3">
        <f>IFERROR(VLOOKUP(B37,CONFIGURACIÓN!$A$2:$C$39,3,FALSE),0)</f>
        <v>0</v>
      </c>
    </row>
    <row r="38" spans="3:12" x14ac:dyDescent="0.3">
      <c r="C38" s="2"/>
      <c r="D38" s="2"/>
      <c r="E38" s="2"/>
      <c r="F38" s="2"/>
      <c r="G38" s="3" t="str">
        <f t="shared" si="6"/>
        <v/>
      </c>
      <c r="H38" s="3" t="str">
        <f t="shared" si="7"/>
        <v/>
      </c>
      <c r="I38" s="3" t="str">
        <f t="shared" si="8"/>
        <v/>
      </c>
      <c r="J38" t="str">
        <f t="shared" si="9"/>
        <v/>
      </c>
      <c r="K38" s="4">
        <f>IFERROR(VLOOKUP(B38,CONFIGURACIÓN!$A$2:$C$39,2,FALSE),0)</f>
        <v>0</v>
      </c>
      <c r="L38" s="3">
        <f>IFERROR(VLOOKUP(B38,CONFIGURACIÓN!$A$2:$C$39,3,FALSE),0)</f>
        <v>0</v>
      </c>
    </row>
    <row r="39" spans="3:12" x14ac:dyDescent="0.3">
      <c r="C39" s="2"/>
      <c r="D39" s="2"/>
      <c r="E39" s="2"/>
      <c r="F39" s="2"/>
      <c r="G39" s="3" t="str">
        <f t="shared" si="6"/>
        <v/>
      </c>
      <c r="H39" s="3" t="str">
        <f t="shared" si="7"/>
        <v/>
      </c>
      <c r="I39" s="3" t="str">
        <f t="shared" si="8"/>
        <v/>
      </c>
      <c r="J39" t="str">
        <f t="shared" si="9"/>
        <v/>
      </c>
      <c r="K39" s="4">
        <f>IFERROR(VLOOKUP(B39,CONFIGURACIÓN!$A$2:$C$39,2,FALSE),0)</f>
        <v>0</v>
      </c>
      <c r="L39" s="3">
        <f>IFERROR(VLOOKUP(B39,CONFIGURACIÓN!$A$2:$C$39,3,FALSE),0)</f>
        <v>0</v>
      </c>
    </row>
    <row r="40" spans="3:12" x14ac:dyDescent="0.3">
      <c r="C40" s="2"/>
      <c r="D40" s="2"/>
      <c r="E40" s="2"/>
      <c r="F40" s="2"/>
      <c r="G40" s="3" t="str">
        <f t="shared" si="6"/>
        <v/>
      </c>
      <c r="H40" s="3" t="str">
        <f t="shared" si="7"/>
        <v/>
      </c>
      <c r="I40" s="3" t="str">
        <f t="shared" si="8"/>
        <v/>
      </c>
      <c r="J40" t="str">
        <f t="shared" si="9"/>
        <v/>
      </c>
      <c r="K40" s="4">
        <f>IFERROR(VLOOKUP(B40,CONFIGURACIÓN!$A$2:$C$39,2,FALSE),0)</f>
        <v>0</v>
      </c>
      <c r="L40" s="3">
        <f>IFERROR(VLOOKUP(B40,CONFIGURACIÓN!$A$2:$C$39,3,FALSE),0)</f>
        <v>0</v>
      </c>
    </row>
    <row r="41" spans="3:12" x14ac:dyDescent="0.3">
      <c r="C41" s="2"/>
      <c r="D41" s="2"/>
      <c r="E41" s="2"/>
      <c r="F41" s="2"/>
      <c r="G41" s="3" t="str">
        <f t="shared" si="6"/>
        <v/>
      </c>
      <c r="H41" s="3" t="str">
        <f t="shared" si="7"/>
        <v/>
      </c>
      <c r="I41" s="3" t="str">
        <f t="shared" si="8"/>
        <v/>
      </c>
      <c r="J41" t="str">
        <f t="shared" si="9"/>
        <v/>
      </c>
      <c r="K41" s="4">
        <f>IFERROR(VLOOKUP(B41,CONFIGURACIÓN!$A$2:$C$39,2,FALSE),0)</f>
        <v>0</v>
      </c>
      <c r="L41" s="3">
        <f>IFERROR(VLOOKUP(B41,CONFIGURACIÓN!$A$2:$C$39,3,FALSE),0)</f>
        <v>0</v>
      </c>
    </row>
    <row r="42" spans="3:12" x14ac:dyDescent="0.3">
      <c r="C42" s="2"/>
      <c r="D42" s="2"/>
      <c r="E42" s="2"/>
      <c r="F42" s="2"/>
      <c r="G42" s="3" t="str">
        <f t="shared" si="6"/>
        <v/>
      </c>
      <c r="H42" s="3" t="str">
        <f t="shared" si="7"/>
        <v/>
      </c>
      <c r="I42" s="3" t="str">
        <f t="shared" si="8"/>
        <v/>
      </c>
      <c r="J42" t="str">
        <f t="shared" si="9"/>
        <v/>
      </c>
      <c r="K42" s="4">
        <f>IFERROR(VLOOKUP(B42,CONFIGURACIÓN!$A$2:$C$39,2,FALSE),0)</f>
        <v>0</v>
      </c>
      <c r="L42" s="3">
        <f>IFERROR(VLOOKUP(B42,CONFIGURACIÓN!$A$2:$C$39,3,FALSE),0)</f>
        <v>0</v>
      </c>
    </row>
    <row r="43" spans="3:12" x14ac:dyDescent="0.3">
      <c r="C43" s="2"/>
      <c r="D43" s="2"/>
      <c r="E43" s="2"/>
      <c r="F43" s="2"/>
      <c r="G43" s="3" t="str">
        <f t="shared" si="6"/>
        <v/>
      </c>
      <c r="H43" s="3" t="str">
        <f t="shared" si="7"/>
        <v/>
      </c>
      <c r="I43" s="3" t="str">
        <f t="shared" si="8"/>
        <v/>
      </c>
      <c r="J43" t="str">
        <f t="shared" si="9"/>
        <v/>
      </c>
      <c r="K43" s="4">
        <f>IFERROR(VLOOKUP(B43,CONFIGURACIÓN!$A$2:$C$39,2,FALSE),0)</f>
        <v>0</v>
      </c>
      <c r="L43" s="3">
        <f>IFERROR(VLOOKUP(B43,CONFIGURACIÓN!$A$2:$C$39,3,FALSE),0)</f>
        <v>0</v>
      </c>
    </row>
    <row r="44" spans="3:12" x14ac:dyDescent="0.3">
      <c r="C44" s="2"/>
      <c r="D44" s="2"/>
      <c r="E44" s="2"/>
      <c r="F44" s="2"/>
      <c r="G44" s="3" t="str">
        <f t="shared" si="6"/>
        <v/>
      </c>
      <c r="H44" s="3" t="str">
        <f t="shared" si="7"/>
        <v/>
      </c>
      <c r="I44" s="3" t="str">
        <f t="shared" si="8"/>
        <v/>
      </c>
      <c r="J44" t="str">
        <f t="shared" si="9"/>
        <v/>
      </c>
      <c r="K44" s="4">
        <f>IFERROR(VLOOKUP(B44,CONFIGURACIÓN!$A$2:$C$39,2,FALSE),0)</f>
        <v>0</v>
      </c>
      <c r="L44" s="3">
        <f>IFERROR(VLOOKUP(B44,CONFIGURACIÓN!$A$2:$C$39,3,FALSE),0)</f>
        <v>0</v>
      </c>
    </row>
    <row r="45" spans="3:12" x14ac:dyDescent="0.3">
      <c r="C45" s="2"/>
      <c r="D45" s="2"/>
      <c r="E45" s="2"/>
      <c r="F45" s="2"/>
      <c r="G45" s="3" t="str">
        <f t="shared" si="6"/>
        <v/>
      </c>
      <c r="H45" s="3" t="str">
        <f t="shared" si="7"/>
        <v/>
      </c>
      <c r="I45" s="3" t="str">
        <f t="shared" si="8"/>
        <v/>
      </c>
      <c r="J45" t="str">
        <f t="shared" si="9"/>
        <v/>
      </c>
      <c r="K45" s="4">
        <f>IFERROR(VLOOKUP(B45,CONFIGURACIÓN!$A$2:$C$39,2,FALSE),0)</f>
        <v>0</v>
      </c>
      <c r="L45" s="3">
        <f>IFERROR(VLOOKUP(B45,CONFIGURACIÓN!$A$2:$C$39,3,FALSE),0)</f>
        <v>0</v>
      </c>
    </row>
    <row r="46" spans="3:12" x14ac:dyDescent="0.3">
      <c r="C46" s="2"/>
      <c r="D46" s="2"/>
      <c r="E46" s="2"/>
      <c r="F46" s="2"/>
      <c r="G46" s="3" t="str">
        <f t="shared" si="6"/>
        <v/>
      </c>
      <c r="H46" s="3" t="str">
        <f t="shared" si="7"/>
        <v/>
      </c>
      <c r="I46" s="3" t="str">
        <f t="shared" si="8"/>
        <v/>
      </c>
      <c r="J46" t="str">
        <f t="shared" si="9"/>
        <v/>
      </c>
      <c r="K46" s="4">
        <f>IFERROR(VLOOKUP(B46,CONFIGURACIÓN!$A$2:$C$39,2,FALSE),0)</f>
        <v>0</v>
      </c>
      <c r="L46" s="3">
        <f>IFERROR(VLOOKUP(B46,CONFIGURACIÓN!$A$2:$C$39,3,FALSE),0)</f>
        <v>0</v>
      </c>
    </row>
    <row r="47" spans="3:12" x14ac:dyDescent="0.3">
      <c r="C47" s="2"/>
      <c r="D47" s="2"/>
      <c r="E47" s="2"/>
      <c r="F47" s="2"/>
      <c r="G47" s="3" t="str">
        <f t="shared" si="6"/>
        <v/>
      </c>
      <c r="H47" s="3" t="str">
        <f t="shared" si="7"/>
        <v/>
      </c>
      <c r="I47" s="3" t="str">
        <f t="shared" si="8"/>
        <v/>
      </c>
      <c r="J47" t="str">
        <f t="shared" si="9"/>
        <v/>
      </c>
      <c r="K47" s="4">
        <f>IFERROR(VLOOKUP(B47,CONFIGURACIÓN!$A$2:$C$39,2,FALSE),0)</f>
        <v>0</v>
      </c>
      <c r="L47" s="3">
        <f>IFERROR(VLOOKUP(B47,CONFIGURACIÓN!$A$2:$C$39,3,FALSE),0)</f>
        <v>0</v>
      </c>
    </row>
    <row r="48" spans="3:12" x14ac:dyDescent="0.3">
      <c r="C48" s="2"/>
      <c r="D48" s="2"/>
      <c r="E48" s="2"/>
      <c r="F48" s="2"/>
      <c r="G48" s="3" t="str">
        <f t="shared" si="6"/>
        <v/>
      </c>
      <c r="H48" s="3" t="str">
        <f t="shared" si="7"/>
        <v/>
      </c>
      <c r="I48" s="3" t="str">
        <f t="shared" si="8"/>
        <v/>
      </c>
      <c r="J48" t="str">
        <f t="shared" si="9"/>
        <v/>
      </c>
      <c r="K48" s="4">
        <f>IFERROR(VLOOKUP(B48,CONFIGURACIÓN!$A$2:$C$39,2,FALSE),0)</f>
        <v>0</v>
      </c>
      <c r="L48" s="3">
        <f>IFERROR(VLOOKUP(B48,CONFIGURACIÓN!$A$2:$C$39,3,FALSE),0)</f>
        <v>0</v>
      </c>
    </row>
    <row r="49" spans="1:12" x14ac:dyDescent="0.3">
      <c r="C49" s="2"/>
      <c r="D49" s="2"/>
      <c r="E49" s="2"/>
      <c r="F49" s="2"/>
      <c r="G49" s="3" t="str">
        <f t="shared" si="6"/>
        <v/>
      </c>
      <c r="H49" s="3" t="str">
        <f t="shared" si="7"/>
        <v/>
      </c>
      <c r="I49" s="3" t="str">
        <f t="shared" si="8"/>
        <v/>
      </c>
      <c r="J49" t="str">
        <f t="shared" si="9"/>
        <v/>
      </c>
      <c r="K49" s="4">
        <f>IFERROR(VLOOKUP(B49,CONFIGURACIÓN!$A$2:$C$39,2,FALSE),0)</f>
        <v>0</v>
      </c>
      <c r="L49" s="3">
        <f>IFERROR(VLOOKUP(B49,CONFIGURACIÓN!$A$2:$C$39,3,FALSE),0)</f>
        <v>0</v>
      </c>
    </row>
    <row r="50" spans="1:12" x14ac:dyDescent="0.3">
      <c r="C50" s="2"/>
      <c r="D50" s="2"/>
      <c r="E50" s="2"/>
      <c r="F50" s="2"/>
      <c r="G50" s="3" t="str">
        <f t="shared" si="6"/>
        <v/>
      </c>
      <c r="H50" s="3" t="str">
        <f t="shared" si="7"/>
        <v/>
      </c>
      <c r="I50" s="3" t="str">
        <f t="shared" si="8"/>
        <v/>
      </c>
      <c r="J50" t="str">
        <f t="shared" si="9"/>
        <v/>
      </c>
      <c r="K50" s="4">
        <f>IFERROR(VLOOKUP(B50,CONFIGURACIÓN!$A$2:$C$39,2,FALSE),0)</f>
        <v>0</v>
      </c>
      <c r="L50" s="3">
        <f>IFERROR(VLOOKUP(B50,CONFIGURACIÓN!$A$2:$C$39,3,FALSE),0)</f>
        <v>0</v>
      </c>
    </row>
    <row r="51" spans="1:12" x14ac:dyDescent="0.3">
      <c r="C51" s="2"/>
      <c r="D51" s="2"/>
      <c r="E51" s="2"/>
      <c r="F51" s="2"/>
      <c r="G51" s="3" t="str">
        <f t="shared" si="6"/>
        <v/>
      </c>
      <c r="H51" s="3" t="str">
        <f t="shared" si="7"/>
        <v/>
      </c>
      <c r="I51" s="3" t="str">
        <f t="shared" si="8"/>
        <v/>
      </c>
      <c r="J51" t="str">
        <f t="shared" si="9"/>
        <v/>
      </c>
      <c r="K51" s="4">
        <f>IFERROR(VLOOKUP(B51,CONFIGURACIÓN!$A$2:$C$39,2,FALSE),0)</f>
        <v>0</v>
      </c>
      <c r="L51" s="3">
        <f>IFERROR(VLOOKUP(B51,CONFIGURACIÓN!$A$2:$C$39,3,FALSE),0)</f>
        <v>0</v>
      </c>
    </row>
    <row r="52" spans="1:12" x14ac:dyDescent="0.3">
      <c r="C52" s="2"/>
      <c r="D52" s="2"/>
      <c r="E52" s="2"/>
      <c r="F52" s="2"/>
      <c r="G52" s="3" t="str">
        <f t="shared" si="6"/>
        <v/>
      </c>
      <c r="H52" s="3" t="str">
        <f t="shared" si="7"/>
        <v/>
      </c>
      <c r="I52" s="3" t="str">
        <f t="shared" si="8"/>
        <v/>
      </c>
      <c r="J52" t="str">
        <f t="shared" si="9"/>
        <v/>
      </c>
      <c r="K52" s="4">
        <f>IFERROR(VLOOKUP(B52,CONFIGURACIÓN!$A$2:$C$39,2,FALSE),0)</f>
        <v>0</v>
      </c>
      <c r="L52" s="3">
        <f>IFERROR(VLOOKUP(B52,CONFIGURACIÓN!$A$2:$C$39,3,FALSE),0)</f>
        <v>0</v>
      </c>
    </row>
    <row r="53" spans="1:12" x14ac:dyDescent="0.3">
      <c r="C53" s="2"/>
      <c r="D53" s="2"/>
      <c r="E53" s="2"/>
      <c r="F53" s="2"/>
      <c r="G53" s="3" t="str">
        <f t="shared" si="6"/>
        <v/>
      </c>
      <c r="H53" s="3" t="str">
        <f t="shared" si="7"/>
        <v/>
      </c>
      <c r="I53" s="3" t="str">
        <f t="shared" si="8"/>
        <v/>
      </c>
      <c r="J53" t="str">
        <f t="shared" si="9"/>
        <v/>
      </c>
      <c r="K53" s="4">
        <f>IFERROR(VLOOKUP(B53,CONFIGURACIÓN!$A$2:$C$39,2,FALSE),0)</f>
        <v>0</v>
      </c>
      <c r="L53" s="3">
        <f>IFERROR(VLOOKUP(B53,CONFIGURACIÓN!$A$2:$C$39,3,FALSE),0)</f>
        <v>0</v>
      </c>
    </row>
    <row r="56" spans="1:12" ht="17.399999999999999" x14ac:dyDescent="0.35">
      <c r="A56" s="5" t="s">
        <v>14</v>
      </c>
    </row>
    <row r="57" spans="1:12" x14ac:dyDescent="0.3">
      <c r="A57" t="s">
        <v>15</v>
      </c>
    </row>
    <row r="58" spans="1:12" x14ac:dyDescent="0.3">
      <c r="A58" t="s">
        <v>16</v>
      </c>
    </row>
    <row r="59" spans="1:12" x14ac:dyDescent="0.3">
      <c r="A59" t="s">
        <v>17</v>
      </c>
    </row>
    <row r="60" spans="1:12" x14ac:dyDescent="0.3">
      <c r="A60" t="s">
        <v>18</v>
      </c>
    </row>
    <row r="61" spans="1:12" x14ac:dyDescent="0.3">
      <c r="A61" t="s">
        <v>19</v>
      </c>
    </row>
    <row r="62" spans="1:12" x14ac:dyDescent="0.3">
      <c r="A62" t="s">
        <v>20</v>
      </c>
    </row>
    <row r="63" spans="1:12" x14ac:dyDescent="0.3">
      <c r="A63" t="s">
        <v>21</v>
      </c>
    </row>
    <row r="64" spans="1:12" x14ac:dyDescent="0.3">
      <c r="A64" t="s">
        <v>22</v>
      </c>
    </row>
  </sheetData>
  <autoFilter ref="A3:J53" xr:uid="{00000000-0009-0000-0000-000000000000}"/>
  <mergeCells count="2">
    <mergeCell ref="A1:J1"/>
    <mergeCell ref="H2:I2"/>
  </mergeCells>
  <conditionalFormatting sqref="J4:J53">
    <cfRule type="expression" dxfId="2" priority="1">
      <formula>J4="PÉRDIDA"</formula>
    </cfRule>
    <cfRule type="expression" dxfId="1" priority="2">
      <formula>J4="GANANCIA"</formula>
    </cfRule>
    <cfRule type="expression" dxfId="0" priority="3">
      <formula>J4="REVISAR"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CONFIGURACIÓN!$A$2:$A$39</xm:f>
          </x14:formula1>
          <xm:sqref>B4:B53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tabSelected="1" workbookViewId="0">
      <pane ySplit="1" topLeftCell="A2" activePane="bottomLeft" state="frozen"/>
      <selection pane="bottomLeft" activeCell="B39" sqref="B39"/>
    </sheetView>
  </sheetViews>
  <sheetFormatPr baseColWidth="10" defaultColWidth="8.88671875" defaultRowHeight="14.4" x14ac:dyDescent="0.3"/>
  <cols>
    <col min="1" max="1" width="28" customWidth="1"/>
    <col min="2" max="2" width="14" customWidth="1"/>
    <col min="3" max="3" width="20" customWidth="1"/>
  </cols>
  <sheetData>
    <row r="1" spans="1:3" x14ac:dyDescent="0.3">
      <c r="A1" s="1" t="s">
        <v>4</v>
      </c>
      <c r="B1" s="1" t="s">
        <v>23</v>
      </c>
      <c r="C1" s="1" t="s">
        <v>24</v>
      </c>
    </row>
    <row r="2" spans="1:3" x14ac:dyDescent="0.3">
      <c r="A2" t="s">
        <v>13</v>
      </c>
      <c r="B2" s="4">
        <v>0.4</v>
      </c>
      <c r="C2" s="3">
        <v>80000</v>
      </c>
    </row>
    <row r="3" spans="1:3" x14ac:dyDescent="0.3">
      <c r="A3" t="s">
        <v>25</v>
      </c>
      <c r="B3" s="4">
        <v>0.4</v>
      </c>
      <c r="C3" s="3">
        <v>150000</v>
      </c>
    </row>
    <row r="4" spans="1:3" x14ac:dyDescent="0.3">
      <c r="A4" t="s">
        <v>26</v>
      </c>
      <c r="B4" s="4">
        <v>0.4</v>
      </c>
      <c r="C4" s="3">
        <v>150000</v>
      </c>
    </row>
    <row r="5" spans="1:3" x14ac:dyDescent="0.3">
      <c r="A5" t="s">
        <v>27</v>
      </c>
      <c r="B5" s="4">
        <v>0.45</v>
      </c>
      <c r="C5" s="3">
        <v>80000</v>
      </c>
    </row>
    <row r="6" spans="1:3" x14ac:dyDescent="0.3">
      <c r="A6" t="s">
        <v>28</v>
      </c>
      <c r="B6" s="4">
        <v>0.45</v>
      </c>
      <c r="C6" s="3">
        <v>100000</v>
      </c>
    </row>
    <row r="7" spans="1:3" x14ac:dyDescent="0.3">
      <c r="A7" t="s">
        <v>29</v>
      </c>
      <c r="B7" s="4">
        <v>0.45</v>
      </c>
      <c r="C7" s="3">
        <v>80000</v>
      </c>
    </row>
    <row r="8" spans="1:3" x14ac:dyDescent="0.3">
      <c r="A8" t="s">
        <v>30</v>
      </c>
      <c r="B8" s="4">
        <v>0.45</v>
      </c>
      <c r="C8" s="3">
        <v>80000</v>
      </c>
    </row>
    <row r="9" spans="1:3" x14ac:dyDescent="0.3">
      <c r="A9" t="s">
        <v>31</v>
      </c>
      <c r="B9" s="4">
        <v>0.45</v>
      </c>
      <c r="C9" s="3">
        <v>80000</v>
      </c>
    </row>
    <row r="10" spans="1:3" x14ac:dyDescent="0.3">
      <c r="A10" t="s">
        <v>32</v>
      </c>
      <c r="B10" s="4">
        <v>0.45</v>
      </c>
      <c r="C10" s="3">
        <v>80000</v>
      </c>
    </row>
    <row r="11" spans="1:3" x14ac:dyDescent="0.3">
      <c r="A11" t="s">
        <v>33</v>
      </c>
      <c r="B11" s="4">
        <v>0.45</v>
      </c>
      <c r="C11" s="3">
        <v>150000</v>
      </c>
    </row>
    <row r="12" spans="1:3" x14ac:dyDescent="0.3">
      <c r="A12" t="s">
        <v>34</v>
      </c>
      <c r="B12" s="4">
        <v>0.4</v>
      </c>
      <c r="C12" s="3">
        <v>80000</v>
      </c>
    </row>
    <row r="13" spans="1:3" x14ac:dyDescent="0.3">
      <c r="A13" t="s">
        <v>35</v>
      </c>
      <c r="B13" s="4">
        <v>0.4</v>
      </c>
      <c r="C13" s="3">
        <v>100000</v>
      </c>
    </row>
    <row r="14" spans="1:3" x14ac:dyDescent="0.3">
      <c r="A14" t="s">
        <v>36</v>
      </c>
      <c r="B14" s="4">
        <v>0.4</v>
      </c>
      <c r="C14" s="3">
        <v>100000</v>
      </c>
    </row>
    <row r="15" spans="1:3" x14ac:dyDescent="0.3">
      <c r="A15" t="s">
        <v>37</v>
      </c>
      <c r="B15" s="4">
        <v>0.4</v>
      </c>
      <c r="C15" s="3">
        <v>120000</v>
      </c>
    </row>
    <row r="16" spans="1:3" x14ac:dyDescent="0.3">
      <c r="A16" t="s">
        <v>38</v>
      </c>
      <c r="B16" s="4">
        <v>0.45</v>
      </c>
      <c r="C16" s="3">
        <v>100000</v>
      </c>
    </row>
    <row r="17" spans="1:3" x14ac:dyDescent="0.3">
      <c r="A17" t="s">
        <v>39</v>
      </c>
      <c r="B17" s="4">
        <v>0.4</v>
      </c>
      <c r="C17" s="3">
        <v>150000</v>
      </c>
    </row>
    <row r="18" spans="1:3" x14ac:dyDescent="0.3">
      <c r="A18" t="s">
        <v>40</v>
      </c>
      <c r="B18" s="4">
        <v>0.35</v>
      </c>
      <c r="C18" s="3">
        <v>300000</v>
      </c>
    </row>
    <row r="19" spans="1:3" x14ac:dyDescent="0.3">
      <c r="A19" t="s">
        <v>41</v>
      </c>
      <c r="B19" s="4">
        <v>0.3</v>
      </c>
      <c r="C19" s="3">
        <v>500000</v>
      </c>
    </row>
    <row r="20" spans="1:3" x14ac:dyDescent="0.3">
      <c r="A20" t="s">
        <v>42</v>
      </c>
      <c r="B20" s="4">
        <v>0.45</v>
      </c>
      <c r="C20" s="3">
        <v>50000</v>
      </c>
    </row>
    <row r="21" spans="1:3" x14ac:dyDescent="0.3">
      <c r="A21" t="s">
        <v>43</v>
      </c>
      <c r="B21" s="4">
        <v>0.4</v>
      </c>
      <c r="C21" s="3">
        <v>100000</v>
      </c>
    </row>
    <row r="22" spans="1:3" x14ac:dyDescent="0.3">
      <c r="A22" t="s">
        <v>44</v>
      </c>
      <c r="B22" s="4">
        <v>0.45</v>
      </c>
      <c r="C22" s="3">
        <v>50000</v>
      </c>
    </row>
    <row r="23" spans="1:3" x14ac:dyDescent="0.3">
      <c r="A23" t="s">
        <v>45</v>
      </c>
      <c r="B23" s="4">
        <v>0.45</v>
      </c>
      <c r="C23" s="3">
        <v>50000</v>
      </c>
    </row>
    <row r="24" spans="1:3" x14ac:dyDescent="0.3">
      <c r="A24" t="s">
        <v>46</v>
      </c>
      <c r="B24" s="4">
        <v>0.45</v>
      </c>
      <c r="C24" s="3">
        <v>80000</v>
      </c>
    </row>
    <row r="25" spans="1:3" x14ac:dyDescent="0.3">
      <c r="A25" t="s">
        <v>47</v>
      </c>
      <c r="B25" s="4">
        <v>0.3</v>
      </c>
      <c r="C25" s="3">
        <v>80000</v>
      </c>
    </row>
    <row r="26" spans="1:3" x14ac:dyDescent="0.3">
      <c r="A26" t="s">
        <v>48</v>
      </c>
      <c r="B26" s="4">
        <v>0.35</v>
      </c>
      <c r="C26" s="3">
        <v>100000</v>
      </c>
    </row>
    <row r="27" spans="1:3" x14ac:dyDescent="0.3">
      <c r="A27" t="s">
        <v>49</v>
      </c>
      <c r="B27" s="4">
        <v>0.4</v>
      </c>
      <c r="C27" s="3">
        <v>80000</v>
      </c>
    </row>
    <row r="28" spans="1:3" x14ac:dyDescent="0.3">
      <c r="A28" t="s">
        <v>50</v>
      </c>
      <c r="B28" s="4">
        <v>0.3</v>
      </c>
      <c r="C28" s="3">
        <v>200000</v>
      </c>
    </row>
    <row r="29" spans="1:3" x14ac:dyDescent="0.3">
      <c r="A29" t="s">
        <v>51</v>
      </c>
      <c r="B29" s="4">
        <v>0.4</v>
      </c>
      <c r="C29" s="3">
        <v>200000</v>
      </c>
    </row>
    <row r="30" spans="1:3" x14ac:dyDescent="0.3">
      <c r="A30" t="s">
        <v>52</v>
      </c>
      <c r="B30" s="4">
        <v>0.4</v>
      </c>
      <c r="C30" s="3">
        <v>100000</v>
      </c>
    </row>
    <row r="31" spans="1:3" x14ac:dyDescent="0.3">
      <c r="A31" t="s">
        <v>53</v>
      </c>
      <c r="B31" s="4">
        <v>0.4</v>
      </c>
      <c r="C31" s="3">
        <v>100000</v>
      </c>
    </row>
    <row r="32" spans="1:3" x14ac:dyDescent="0.3">
      <c r="A32" t="s">
        <v>54</v>
      </c>
      <c r="B32" s="4">
        <v>0.4</v>
      </c>
      <c r="C32" s="3">
        <v>80000</v>
      </c>
    </row>
    <row r="33" spans="1:3" x14ac:dyDescent="0.3">
      <c r="A33" t="s">
        <v>55</v>
      </c>
      <c r="B33" s="4">
        <v>0.4</v>
      </c>
      <c r="C33" s="3">
        <v>80000</v>
      </c>
    </row>
    <row r="34" spans="1:3" x14ac:dyDescent="0.3">
      <c r="A34" t="s">
        <v>56</v>
      </c>
      <c r="B34" s="4">
        <v>0.35</v>
      </c>
      <c r="C34" s="3">
        <v>200000</v>
      </c>
    </row>
    <row r="35" spans="1:3" x14ac:dyDescent="0.3">
      <c r="A35" t="s">
        <v>57</v>
      </c>
      <c r="B35" s="4">
        <v>0.3</v>
      </c>
      <c r="C35" s="3">
        <v>300000</v>
      </c>
    </row>
    <row r="36" spans="1:3" x14ac:dyDescent="0.3">
      <c r="A36" t="s">
        <v>58</v>
      </c>
      <c r="B36" s="4">
        <v>0.3</v>
      </c>
      <c r="C36" s="3">
        <v>200000</v>
      </c>
    </row>
    <row r="37" spans="1:3" x14ac:dyDescent="0.3">
      <c r="A37" t="s">
        <v>59</v>
      </c>
      <c r="B37" s="4">
        <v>0.35</v>
      </c>
      <c r="C37" s="3">
        <v>100000</v>
      </c>
    </row>
    <row r="38" spans="1:3" x14ac:dyDescent="0.3">
      <c r="A38" t="s">
        <v>60</v>
      </c>
      <c r="B38" s="4">
        <v>0.3</v>
      </c>
      <c r="C38" s="3">
        <v>200000</v>
      </c>
    </row>
    <row r="39" spans="1:3" x14ac:dyDescent="0.3">
      <c r="A39" t="s">
        <v>61</v>
      </c>
      <c r="B39" s="4">
        <v>0.5</v>
      </c>
      <c r="C39" s="3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COTIZADOR</vt:lpstr>
      <vt:lpstr>CONFIGURACIÓN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2026-09-10T22:38:39Z</dcterms:created>
  <dcterms:modified xsi:type="dcterms:W3CDTF">2026-09-10T23:00:08Z</dcterms:modified>
</cp:coreProperties>
</file>